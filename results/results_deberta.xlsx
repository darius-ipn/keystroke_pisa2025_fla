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comparison" sheetId="5" r:id="rId1"/>
    <sheet name="full" sheetId="1" r:id="rId2"/>
    <sheet name="hybrid" sheetId="2" r:id="rId3"/>
    <sheet name="fusion" sheetId="6" r:id="rId4"/>
  </sheets>
  <calcPr calcId="152511"/>
</workbook>
</file>

<file path=xl/calcChain.xml><?xml version="1.0" encoding="utf-8"?>
<calcChain xmlns="http://schemas.openxmlformats.org/spreadsheetml/2006/main">
  <c r="H6" i="5" l="1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5" i="5"/>
  <c r="H4" i="5"/>
  <c r="F5" i="5" l="1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4" i="5"/>
</calcChain>
</file>

<file path=xl/sharedStrings.xml><?xml version="1.0" encoding="utf-8"?>
<sst xmlns="http://schemas.openxmlformats.org/spreadsheetml/2006/main" count="137" uniqueCount="25">
  <si>
    <t>n</t>
  </si>
  <si>
    <t>full</t>
  </si>
  <si>
    <t>Pearson r</t>
  </si>
  <si>
    <t>MAE</t>
  </si>
  <si>
    <t>RMSE</t>
  </si>
  <si>
    <t>QWK</t>
  </si>
  <si>
    <t>F1 (macro)</t>
  </si>
  <si>
    <t>F1 (weighted)</t>
  </si>
  <si>
    <t>wo_chat</t>
  </si>
  <si>
    <t>withchat</t>
  </si>
  <si>
    <t>combined</t>
  </si>
  <si>
    <t>FULL</t>
  </si>
  <si>
    <t>Spearman ρ</t>
  </si>
  <si>
    <t>condition</t>
  </si>
  <si>
    <t>source_timepoint</t>
  </si>
  <si>
    <t>05min</t>
  </si>
  <si>
    <t>10min</t>
  </si>
  <si>
    <t>15min</t>
  </si>
  <si>
    <t>20min</t>
  </si>
  <si>
    <t>25min</t>
  </si>
  <si>
    <t>all</t>
  </si>
  <si>
    <t>HYBRID</t>
  </si>
  <si>
    <t>change</t>
  </si>
  <si>
    <t>FUSION</t>
  </si>
  <si>
    <t>change to full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</si>
</sst>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1F1F1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2" fontId="0" fillId="0" borderId="0" xfId="0" applyNumberFormat="1"/>
    <xf numFmtId="0" fontId="2" fillId="0" borderId="0" xfId="0" applyFont="1" applyAlignment="1">
      <alignment horizontal="right" vertical="center" wrapText="1"/>
    </xf>
    <xf numFmtId="0" fontId="3" fillId="0" borderId="0" xfId="0" applyFont="1" applyBorder="1" applyAlignment="1">
      <alignment horizontal="right" vertical="center" wrapText="1"/>
    </xf>
    <xf numFmtId="2" fontId="3" fillId="0" borderId="0" xfId="0" applyNumberFormat="1" applyFont="1" applyBorder="1" applyAlignment="1">
      <alignment horizontal="right" vertical="center" wrapText="1"/>
    </xf>
    <xf numFmtId="3" fontId="3" fillId="0" borderId="0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right" vertical="center" wrapText="1"/>
    </xf>
    <xf numFmtId="2" fontId="3" fillId="0" borderId="2" xfId="0" applyNumberFormat="1" applyFont="1" applyBorder="1" applyAlignment="1">
      <alignment horizontal="right" vertical="center" wrapText="1"/>
    </xf>
    <xf numFmtId="3" fontId="3" fillId="0" borderId="2" xfId="0" applyNumberFormat="1" applyFont="1" applyBorder="1" applyAlignment="1">
      <alignment horizontal="right" vertical="center" wrapText="1"/>
    </xf>
    <xf numFmtId="3" fontId="3" fillId="0" borderId="3" xfId="0" applyNumberFormat="1" applyFont="1" applyBorder="1" applyAlignment="1">
      <alignment horizontal="right" vertical="center" wrapText="1"/>
    </xf>
    <xf numFmtId="3" fontId="3" fillId="0" borderId="5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2" fontId="3" fillId="0" borderId="7" xfId="0" applyNumberFormat="1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2" fontId="2" fillId="0" borderId="0" xfId="0" applyNumberFormat="1" applyFont="1" applyBorder="1" applyAlignment="1">
      <alignment horizontal="right" vertical="center" wrapText="1"/>
    </xf>
    <xf numFmtId="0" fontId="4" fillId="2" borderId="9" xfId="0" applyFont="1" applyFill="1" applyBorder="1" applyAlignment="1">
      <alignment horizontal="right" vertical="center" wrapText="1"/>
    </xf>
    <xf numFmtId="0" fontId="1" fillId="2" borderId="9" xfId="0" applyFont="1" applyFill="1" applyBorder="1" applyAlignment="1">
      <alignment horizontal="right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right" vertical="center" wrapText="1"/>
    </xf>
    <xf numFmtId="3" fontId="1" fillId="2" borderId="13" xfId="0" applyNumberFormat="1" applyFont="1" applyFill="1" applyBorder="1" applyAlignment="1">
      <alignment horizontal="right" vertical="center" wrapText="1"/>
    </xf>
    <xf numFmtId="3" fontId="1" fillId="2" borderId="15" xfId="0" applyNumberFormat="1" applyFont="1" applyFill="1" applyBorder="1" applyAlignment="1">
      <alignment horizontal="right" vertical="center" wrapText="1"/>
    </xf>
    <xf numFmtId="0" fontId="1" fillId="2" borderId="15" xfId="0" applyFont="1" applyFill="1" applyBorder="1" applyAlignment="1">
      <alignment horizontal="right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right" vertical="center" wrapText="1"/>
    </xf>
    <xf numFmtId="3" fontId="1" fillId="2" borderId="18" xfId="0" applyNumberFormat="1" applyFont="1" applyFill="1" applyBorder="1" applyAlignment="1">
      <alignment horizontal="right" vertical="center" wrapText="1"/>
    </xf>
    <xf numFmtId="3" fontId="1" fillId="2" borderId="12" xfId="0" applyNumberFormat="1" applyFont="1" applyFill="1" applyBorder="1" applyAlignment="1">
      <alignment horizontal="right" vertical="center" wrapText="1"/>
    </xf>
    <xf numFmtId="0" fontId="1" fillId="2" borderId="18" xfId="0" applyFont="1" applyFill="1" applyBorder="1" applyAlignment="1">
      <alignment horizontal="right" vertical="center" wrapText="1"/>
    </xf>
    <xf numFmtId="2" fontId="1" fillId="2" borderId="12" xfId="0" applyNumberFormat="1" applyFont="1" applyFill="1" applyBorder="1" applyAlignment="1">
      <alignment horizontal="right" vertical="center" wrapText="1"/>
    </xf>
    <xf numFmtId="2" fontId="1" fillId="2" borderId="9" xfId="0" applyNumberFormat="1" applyFont="1" applyFill="1" applyBorder="1" applyAlignment="1">
      <alignment horizontal="right" vertical="center" wrapText="1"/>
    </xf>
    <xf numFmtId="2" fontId="1" fillId="2" borderId="17" xfId="0" applyNumberFormat="1" applyFont="1" applyFill="1" applyBorder="1" applyAlignment="1">
      <alignment horizontal="right" vertical="center" wrapText="1"/>
    </xf>
    <xf numFmtId="2" fontId="4" fillId="2" borderId="9" xfId="0" applyNumberFormat="1" applyFont="1" applyFill="1" applyBorder="1" applyAlignment="1">
      <alignment horizontal="right" vertical="center" wrapText="1"/>
    </xf>
    <xf numFmtId="0" fontId="2" fillId="0" borderId="0" xfId="0" applyFont="1" applyFill="1" applyBorder="1" applyAlignment="1">
      <alignment horizontal="right" vertical="center" wrapText="1"/>
    </xf>
    <xf numFmtId="2" fontId="0" fillId="3" borderId="0" xfId="0" applyNumberFormat="1" applyFill="1"/>
    <xf numFmtId="2" fontId="1" fillId="3" borderId="17" xfId="0" applyNumberFormat="1" applyFont="1" applyFill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4" fillId="2" borderId="11" xfId="0" applyFont="1" applyFill="1" applyBorder="1" applyAlignment="1">
      <alignment horizontal="center" vertical="top" wrapText="1"/>
    </xf>
    <xf numFmtId="0" fontId="4" fillId="2" borderId="14" xfId="0" applyFont="1" applyFill="1" applyBorder="1" applyAlignment="1">
      <alignment horizontal="center" vertical="top" wrapText="1"/>
    </xf>
    <xf numFmtId="0" fontId="4" fillId="2" borderId="16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top" wrapText="1"/>
    </xf>
    <xf numFmtId="2" fontId="3" fillId="0" borderId="0" xfId="0" applyNumberFormat="1" applyFont="1" applyAlignment="1">
      <alignment horizontal="right" vertical="center" wrapText="1"/>
    </xf>
    <xf numFmtId="2" fontId="3" fillId="0" borderId="1" xfId="0" applyNumberFormat="1" applyFont="1" applyBorder="1" applyAlignment="1">
      <alignment horizontal="right" vertical="center" wrapText="1"/>
    </xf>
    <xf numFmtId="2" fontId="3" fillId="0" borderId="4" xfId="0" applyNumberFormat="1" applyFont="1" applyBorder="1" applyAlignment="1">
      <alignment horizontal="right" vertical="center" wrapText="1"/>
    </xf>
    <xf numFmtId="2" fontId="0" fillId="0" borderId="3" xfId="0" applyNumberFormat="1" applyBorder="1"/>
    <xf numFmtId="2" fontId="0" fillId="4" borderId="3" xfId="0" applyNumberFormat="1" applyFill="1" applyBorder="1"/>
    <xf numFmtId="2" fontId="3" fillId="4" borderId="6" xfId="0" applyNumberFormat="1" applyFont="1" applyFill="1" applyBorder="1" applyAlignment="1">
      <alignment horizontal="right" vertical="center" wrapText="1"/>
    </xf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zoomScale="101" workbookViewId="0">
      <selection activeCell="N20" sqref="N20"/>
    </sheetView>
  </sheetViews>
  <sheetFormatPr baseColWidth="10" defaultRowHeight="15" x14ac:dyDescent="0.25"/>
  <sheetData>
    <row r="1" spans="1:8" x14ac:dyDescent="0.25">
      <c r="D1" t="s">
        <v>11</v>
      </c>
      <c r="E1" t="s">
        <v>21</v>
      </c>
      <c r="G1" t="s">
        <v>23</v>
      </c>
    </row>
    <row r="2" spans="1:8" ht="30" x14ac:dyDescent="0.25">
      <c r="A2" s="2"/>
      <c r="B2" s="2"/>
      <c r="C2" s="2" t="s">
        <v>0</v>
      </c>
      <c r="D2" s="2" t="s">
        <v>5</v>
      </c>
      <c r="E2" s="19" t="s">
        <v>5</v>
      </c>
      <c r="F2" s="37" t="s">
        <v>22</v>
      </c>
      <c r="G2" s="37" t="s">
        <v>5</v>
      </c>
      <c r="H2" s="37" t="s">
        <v>24</v>
      </c>
    </row>
    <row r="3" spans="1:8" ht="30.75" thickBot="1" x14ac:dyDescent="0.3">
      <c r="A3" s="2" t="s">
        <v>13</v>
      </c>
      <c r="B3" s="2" t="s">
        <v>14</v>
      </c>
      <c r="C3" s="2"/>
      <c r="D3" s="2"/>
      <c r="E3" s="22"/>
    </row>
    <row r="4" spans="1:8" ht="15.75" thickBot="1" x14ac:dyDescent="0.3">
      <c r="A4" s="40" t="s">
        <v>8</v>
      </c>
      <c r="B4" s="7" t="s">
        <v>15</v>
      </c>
      <c r="C4" s="8">
        <v>212</v>
      </c>
      <c r="D4" s="9">
        <v>0.14610000000000001</v>
      </c>
      <c r="E4" s="33">
        <v>0.33329999999999999</v>
      </c>
      <c r="F4" s="38">
        <f>E4-D4</f>
        <v>0.18719999999999998</v>
      </c>
      <c r="G4" s="51">
        <v>0.42559999999999998</v>
      </c>
      <c r="H4" s="54">
        <f>G4-D4</f>
        <v>0.27949999999999997</v>
      </c>
    </row>
    <row r="5" spans="1:8" ht="15.75" thickBot="1" x14ac:dyDescent="0.3">
      <c r="A5" s="41"/>
      <c r="B5" s="6" t="s">
        <v>16</v>
      </c>
      <c r="C5" s="3">
        <v>212</v>
      </c>
      <c r="D5" s="4">
        <v>0.42170000000000002</v>
      </c>
      <c r="E5" s="34">
        <v>0.52880000000000005</v>
      </c>
      <c r="F5" s="38">
        <f t="shared" ref="F5:F24" si="0">E5-D5</f>
        <v>0.10710000000000003</v>
      </c>
      <c r="G5" s="52">
        <v>0.63490000000000002</v>
      </c>
      <c r="H5" s="54">
        <f>G5-D5</f>
        <v>0.2132</v>
      </c>
    </row>
    <row r="6" spans="1:8" ht="15.75" thickBot="1" x14ac:dyDescent="0.3">
      <c r="A6" s="41"/>
      <c r="B6" s="6" t="s">
        <v>17</v>
      </c>
      <c r="C6" s="3">
        <v>212</v>
      </c>
      <c r="D6" s="4">
        <v>0.6532</v>
      </c>
      <c r="E6" s="34">
        <v>0.62749999999999995</v>
      </c>
      <c r="F6" s="1">
        <f t="shared" si="0"/>
        <v>-2.5700000000000056E-2</v>
      </c>
      <c r="G6" s="52">
        <v>0.6885</v>
      </c>
      <c r="H6" s="54">
        <f t="shared" ref="H6:H24" si="1">G6-D6</f>
        <v>3.5299999999999998E-2</v>
      </c>
    </row>
    <row r="7" spans="1:8" ht="15.75" thickBot="1" x14ac:dyDescent="0.3">
      <c r="A7" s="41"/>
      <c r="B7" s="6" t="s">
        <v>18</v>
      </c>
      <c r="C7" s="3">
        <v>212</v>
      </c>
      <c r="D7" s="4">
        <v>0.76759999999999995</v>
      </c>
      <c r="E7" s="34">
        <v>0.66849999999999998</v>
      </c>
      <c r="F7" s="1">
        <f t="shared" si="0"/>
        <v>-9.9099999999999966E-2</v>
      </c>
      <c r="G7" s="52">
        <v>0.71909999999999996</v>
      </c>
      <c r="H7" s="53">
        <f t="shared" si="1"/>
        <v>-4.8499999999999988E-2</v>
      </c>
    </row>
    <row r="8" spans="1:8" ht="15.75" thickBot="1" x14ac:dyDescent="0.3">
      <c r="A8" s="41"/>
      <c r="B8" s="6" t="s">
        <v>19</v>
      </c>
      <c r="C8" s="3">
        <v>212</v>
      </c>
      <c r="D8" s="18">
        <v>0.86129999999999995</v>
      </c>
      <c r="E8" s="36">
        <v>0.73619999999999997</v>
      </c>
      <c r="F8" s="1">
        <f t="shared" si="0"/>
        <v>-0.12509999999999999</v>
      </c>
      <c r="G8" s="52">
        <v>0.77039999999999997</v>
      </c>
      <c r="H8" s="53">
        <f t="shared" si="1"/>
        <v>-9.0899999999999981E-2</v>
      </c>
    </row>
    <row r="9" spans="1:8" ht="15.75" thickBot="1" x14ac:dyDescent="0.3">
      <c r="A9" s="41"/>
      <c r="B9" s="6" t="s">
        <v>1</v>
      </c>
      <c r="C9" s="3">
        <v>212</v>
      </c>
      <c r="D9" s="18">
        <v>0.86329999999999996</v>
      </c>
      <c r="E9" s="36">
        <v>0.74819999999999998</v>
      </c>
      <c r="F9" s="1">
        <f t="shared" si="0"/>
        <v>-0.11509999999999998</v>
      </c>
      <c r="G9" s="52">
        <v>0.76770000000000005</v>
      </c>
      <c r="H9" s="53">
        <f t="shared" si="1"/>
        <v>-9.5599999999999907E-2</v>
      </c>
    </row>
    <row r="10" spans="1:8" ht="15.75" thickBot="1" x14ac:dyDescent="0.3">
      <c r="A10" s="42"/>
      <c r="B10" s="14" t="s">
        <v>20</v>
      </c>
      <c r="C10" s="15">
        <v>1272</v>
      </c>
      <c r="D10" s="16">
        <v>0.57979999999999998</v>
      </c>
      <c r="E10" s="39">
        <v>0.61839999999999995</v>
      </c>
      <c r="F10" s="38">
        <f t="shared" si="0"/>
        <v>3.8599999999999968E-2</v>
      </c>
      <c r="G10" s="52">
        <v>0.67210000000000003</v>
      </c>
      <c r="H10" s="54">
        <f t="shared" si="1"/>
        <v>9.2300000000000049E-2</v>
      </c>
    </row>
    <row r="11" spans="1:8" ht="15.75" thickBot="1" x14ac:dyDescent="0.3">
      <c r="A11" s="40" t="s">
        <v>9</v>
      </c>
      <c r="B11" s="7" t="s">
        <v>15</v>
      </c>
      <c r="C11" s="8">
        <v>217</v>
      </c>
      <c r="D11" s="9">
        <v>0.20860000000000001</v>
      </c>
      <c r="E11" s="33">
        <v>0.4</v>
      </c>
      <c r="F11" s="38">
        <f t="shared" si="0"/>
        <v>0.19140000000000001</v>
      </c>
      <c r="G11" s="52">
        <v>0.57520000000000004</v>
      </c>
      <c r="H11" s="54">
        <f t="shared" si="1"/>
        <v>0.36660000000000004</v>
      </c>
    </row>
    <row r="12" spans="1:8" ht="15.75" thickBot="1" x14ac:dyDescent="0.3">
      <c r="A12" s="41"/>
      <c r="B12" s="6" t="s">
        <v>16</v>
      </c>
      <c r="C12" s="3">
        <v>217</v>
      </c>
      <c r="D12" s="4">
        <v>0.40920000000000001</v>
      </c>
      <c r="E12" s="34">
        <v>0.60360000000000003</v>
      </c>
      <c r="F12" s="38">
        <f t="shared" si="0"/>
        <v>0.19440000000000002</v>
      </c>
      <c r="G12" s="52">
        <v>0.73070000000000002</v>
      </c>
      <c r="H12" s="54">
        <f t="shared" si="1"/>
        <v>0.32150000000000001</v>
      </c>
    </row>
    <row r="13" spans="1:8" ht="15.75" thickBot="1" x14ac:dyDescent="0.3">
      <c r="A13" s="41"/>
      <c r="B13" s="6" t="s">
        <v>17</v>
      </c>
      <c r="C13" s="3">
        <v>217</v>
      </c>
      <c r="D13" s="4">
        <v>0.62280000000000002</v>
      </c>
      <c r="E13" s="34">
        <v>0.73080000000000001</v>
      </c>
      <c r="F13" s="38">
        <f t="shared" si="0"/>
        <v>0.10799999999999998</v>
      </c>
      <c r="G13" s="52">
        <v>0.83389999999999997</v>
      </c>
      <c r="H13" s="54">
        <f t="shared" si="1"/>
        <v>0.21109999999999995</v>
      </c>
    </row>
    <row r="14" spans="1:8" ht="15.75" thickBot="1" x14ac:dyDescent="0.3">
      <c r="A14" s="41"/>
      <c r="B14" s="6" t="s">
        <v>18</v>
      </c>
      <c r="C14" s="3">
        <v>217</v>
      </c>
      <c r="D14" s="4">
        <v>0.84430000000000005</v>
      </c>
      <c r="E14" s="34">
        <v>0.86270000000000002</v>
      </c>
      <c r="F14" s="38">
        <f t="shared" si="0"/>
        <v>1.8399999999999972E-2</v>
      </c>
      <c r="G14" s="52">
        <v>0.8992</v>
      </c>
      <c r="H14" s="54">
        <f t="shared" si="1"/>
        <v>5.4899999999999949E-2</v>
      </c>
    </row>
    <row r="15" spans="1:8" ht="15.75" thickBot="1" x14ac:dyDescent="0.3">
      <c r="A15" s="41"/>
      <c r="B15" s="6" t="s">
        <v>19</v>
      </c>
      <c r="C15" s="3">
        <v>217</v>
      </c>
      <c r="D15" s="18">
        <v>0.94569999999999999</v>
      </c>
      <c r="E15" s="36">
        <v>0.90059999999999996</v>
      </c>
      <c r="F15" s="1">
        <f t="shared" si="0"/>
        <v>-4.5100000000000029E-2</v>
      </c>
      <c r="G15" s="52">
        <v>0.93710000000000004</v>
      </c>
      <c r="H15" s="53">
        <f t="shared" si="1"/>
        <v>-8.599999999999941E-3</v>
      </c>
    </row>
    <row r="16" spans="1:8" ht="15.75" thickBot="1" x14ac:dyDescent="0.3">
      <c r="A16" s="41"/>
      <c r="B16" s="6" t="s">
        <v>1</v>
      </c>
      <c r="C16" s="3">
        <v>217</v>
      </c>
      <c r="D16" s="18">
        <v>0.95169999999999999</v>
      </c>
      <c r="E16" s="36">
        <v>0.90480000000000005</v>
      </c>
      <c r="F16" s="1">
        <f t="shared" si="0"/>
        <v>-4.6899999999999942E-2</v>
      </c>
      <c r="G16" s="52">
        <v>0.93889999999999996</v>
      </c>
      <c r="H16" s="53">
        <f t="shared" si="1"/>
        <v>-1.2800000000000034E-2</v>
      </c>
    </row>
    <row r="17" spans="1:8" ht="15.75" thickBot="1" x14ac:dyDescent="0.3">
      <c r="A17" s="42"/>
      <c r="B17" s="14" t="s">
        <v>20</v>
      </c>
      <c r="C17" s="15">
        <v>1302</v>
      </c>
      <c r="D17" s="16">
        <v>0.56769999999999998</v>
      </c>
      <c r="E17" s="39">
        <v>0.73250000000000004</v>
      </c>
      <c r="F17" s="38">
        <f t="shared" si="0"/>
        <v>0.16480000000000006</v>
      </c>
      <c r="G17" s="52">
        <v>0.82399999999999995</v>
      </c>
      <c r="H17" s="54">
        <f t="shared" si="1"/>
        <v>0.25629999999999997</v>
      </c>
    </row>
    <row r="18" spans="1:8" ht="15.75" thickBot="1" x14ac:dyDescent="0.3">
      <c r="A18" s="40" t="s">
        <v>10</v>
      </c>
      <c r="B18" s="7" t="s">
        <v>15</v>
      </c>
      <c r="C18" s="8">
        <v>429</v>
      </c>
      <c r="D18" s="9">
        <v>0.22009999999999999</v>
      </c>
      <c r="E18" s="33">
        <v>0.43359999999999999</v>
      </c>
      <c r="F18" s="38">
        <f t="shared" si="0"/>
        <v>0.2135</v>
      </c>
      <c r="G18" s="52">
        <v>0.58309999999999995</v>
      </c>
      <c r="H18" s="54">
        <f t="shared" si="1"/>
        <v>0.36299999999999999</v>
      </c>
    </row>
    <row r="19" spans="1:8" ht="15.75" thickBot="1" x14ac:dyDescent="0.3">
      <c r="A19" s="41"/>
      <c r="B19" s="6" t="s">
        <v>16</v>
      </c>
      <c r="C19" s="3">
        <v>429</v>
      </c>
      <c r="D19" s="4">
        <v>0.45029999999999998</v>
      </c>
      <c r="E19" s="34">
        <v>0.62309999999999999</v>
      </c>
      <c r="F19" s="38">
        <f t="shared" si="0"/>
        <v>0.17280000000000001</v>
      </c>
      <c r="G19" s="52">
        <v>0.73319999999999996</v>
      </c>
      <c r="H19" s="54">
        <f t="shared" si="1"/>
        <v>0.28289999999999998</v>
      </c>
    </row>
    <row r="20" spans="1:8" ht="15.75" thickBot="1" x14ac:dyDescent="0.3">
      <c r="A20" s="41"/>
      <c r="B20" s="6" t="s">
        <v>17</v>
      </c>
      <c r="C20" s="3">
        <v>429</v>
      </c>
      <c r="D20" s="4">
        <v>0.67159999999999997</v>
      </c>
      <c r="E20" s="34">
        <v>0.73040000000000005</v>
      </c>
      <c r="F20" s="38">
        <f t="shared" si="0"/>
        <v>5.8800000000000074E-2</v>
      </c>
      <c r="G20" s="52">
        <v>0.8054</v>
      </c>
      <c r="H20" s="54">
        <f t="shared" si="1"/>
        <v>0.13380000000000003</v>
      </c>
    </row>
    <row r="21" spans="1:8" ht="15.75" thickBot="1" x14ac:dyDescent="0.3">
      <c r="A21" s="41"/>
      <c r="B21" s="6" t="s">
        <v>18</v>
      </c>
      <c r="C21" s="3">
        <v>429</v>
      </c>
      <c r="D21" s="4">
        <v>0.83899999999999997</v>
      </c>
      <c r="E21" s="34">
        <v>0.80900000000000005</v>
      </c>
      <c r="F21" s="1">
        <f t="shared" si="0"/>
        <v>-2.9999999999999916E-2</v>
      </c>
      <c r="G21" s="52">
        <v>0.84740000000000004</v>
      </c>
      <c r="H21" s="54">
        <f t="shared" si="1"/>
        <v>8.4000000000000741E-3</v>
      </c>
    </row>
    <row r="22" spans="1:8" ht="15.75" thickBot="1" x14ac:dyDescent="0.3">
      <c r="A22" s="41"/>
      <c r="B22" s="6" t="s">
        <v>19</v>
      </c>
      <c r="C22" s="3">
        <v>429</v>
      </c>
      <c r="D22" s="18">
        <v>0.92320000000000002</v>
      </c>
      <c r="E22" s="36">
        <v>0.85160000000000002</v>
      </c>
      <c r="F22" s="1">
        <f t="shared" si="0"/>
        <v>-7.1599999999999997E-2</v>
      </c>
      <c r="G22" s="52">
        <v>0.88460000000000005</v>
      </c>
      <c r="H22" s="53">
        <f t="shared" si="1"/>
        <v>-3.8599999999999968E-2</v>
      </c>
    </row>
    <row r="23" spans="1:8" ht="15.75" thickBot="1" x14ac:dyDescent="0.3">
      <c r="A23" s="41"/>
      <c r="B23" s="6" t="s">
        <v>1</v>
      </c>
      <c r="C23" s="3">
        <v>429</v>
      </c>
      <c r="D23" s="18">
        <v>0.92620000000000002</v>
      </c>
      <c r="E23" s="36">
        <v>0.8579</v>
      </c>
      <c r="F23" s="1">
        <f t="shared" si="0"/>
        <v>-6.8300000000000027E-2</v>
      </c>
      <c r="G23" s="52">
        <v>0.88439999999999996</v>
      </c>
      <c r="H23" s="53">
        <f t="shared" si="1"/>
        <v>-4.1800000000000059E-2</v>
      </c>
    </row>
    <row r="24" spans="1:8" ht="15.75" thickBot="1" x14ac:dyDescent="0.3">
      <c r="A24" s="42"/>
      <c r="B24" s="14" t="s">
        <v>20</v>
      </c>
      <c r="C24" s="15">
        <v>2574</v>
      </c>
      <c r="D24" s="16">
        <v>0.61509999999999998</v>
      </c>
      <c r="E24" s="39">
        <v>0.72599999999999998</v>
      </c>
      <c r="F24" s="38">
        <f t="shared" si="0"/>
        <v>0.1109</v>
      </c>
      <c r="G24" s="55">
        <v>0.79420000000000002</v>
      </c>
      <c r="H24" s="54">
        <f t="shared" si="1"/>
        <v>0.17910000000000004</v>
      </c>
    </row>
  </sheetData>
  <mergeCells count="3">
    <mergeCell ref="A4:A10"/>
    <mergeCell ref="A11:A17"/>
    <mergeCell ref="A18:A24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="145" zoomScaleNormal="145" workbookViewId="0">
      <selection sqref="A1:D23"/>
    </sheetView>
  </sheetViews>
  <sheetFormatPr baseColWidth="10" defaultColWidth="9.140625" defaultRowHeight="15" x14ac:dyDescent="0.25"/>
  <cols>
    <col min="1" max="1" width="11.140625" customWidth="1"/>
    <col min="2" max="2" width="18.28515625" customWidth="1"/>
  </cols>
  <sheetData>
    <row r="1" spans="1:10" ht="45" x14ac:dyDescent="0.25">
      <c r="A1" s="2"/>
      <c r="B1" s="2"/>
      <c r="C1" s="2" t="s">
        <v>0</v>
      </c>
      <c r="D1" s="2" t="s">
        <v>5</v>
      </c>
      <c r="E1" s="2" t="s">
        <v>6</v>
      </c>
      <c r="F1" s="2" t="s">
        <v>7</v>
      </c>
      <c r="G1" s="2" t="s">
        <v>2</v>
      </c>
      <c r="H1" s="2" t="s">
        <v>12</v>
      </c>
      <c r="I1" s="2" t="s">
        <v>3</v>
      </c>
      <c r="J1" s="2" t="s">
        <v>4</v>
      </c>
    </row>
    <row r="2" spans="1:10" ht="30.75" thickBot="1" x14ac:dyDescent="0.3">
      <c r="A2" s="2" t="s">
        <v>13</v>
      </c>
      <c r="B2" s="2" t="s">
        <v>14</v>
      </c>
      <c r="C2" s="2"/>
      <c r="D2" s="2"/>
      <c r="E2" s="2"/>
      <c r="F2" s="2"/>
      <c r="G2" s="2"/>
      <c r="H2" s="2"/>
      <c r="I2" s="2"/>
      <c r="J2" s="2"/>
    </row>
    <row r="3" spans="1:10" x14ac:dyDescent="0.25">
      <c r="A3" s="40" t="s">
        <v>8</v>
      </c>
      <c r="B3" s="7" t="s">
        <v>15</v>
      </c>
      <c r="C3" s="8">
        <v>212</v>
      </c>
      <c r="D3" s="9">
        <v>0.14610000000000001</v>
      </c>
      <c r="E3" s="9">
        <v>5.4100000000000002E-2</v>
      </c>
      <c r="F3" s="9">
        <v>5.0599999999999999E-2</v>
      </c>
      <c r="G3" s="9">
        <v>0.38900000000000001</v>
      </c>
      <c r="H3" s="9">
        <v>0.38059999999999999</v>
      </c>
      <c r="I3" s="10">
        <v>15560</v>
      </c>
      <c r="J3" s="11">
        <v>19157</v>
      </c>
    </row>
    <row r="4" spans="1:10" x14ac:dyDescent="0.25">
      <c r="A4" s="41"/>
      <c r="B4" s="6" t="s">
        <v>16</v>
      </c>
      <c r="C4" s="3">
        <v>212</v>
      </c>
      <c r="D4" s="4">
        <v>0.42170000000000002</v>
      </c>
      <c r="E4" s="4">
        <v>0.1149</v>
      </c>
      <c r="F4" s="4">
        <v>0.11940000000000001</v>
      </c>
      <c r="G4" s="4">
        <v>0.60350000000000004</v>
      </c>
      <c r="H4" s="4">
        <v>0.61929999999999996</v>
      </c>
      <c r="I4" s="3">
        <v>0.99160000000000004</v>
      </c>
      <c r="J4" s="12">
        <v>13465</v>
      </c>
    </row>
    <row r="5" spans="1:10" x14ac:dyDescent="0.25">
      <c r="A5" s="41"/>
      <c r="B5" s="6" t="s">
        <v>17</v>
      </c>
      <c r="C5" s="3">
        <v>212</v>
      </c>
      <c r="D5" s="4">
        <v>0.6532</v>
      </c>
      <c r="E5" s="4">
        <v>0.27660000000000001</v>
      </c>
      <c r="F5" s="4">
        <v>0.29599999999999999</v>
      </c>
      <c r="G5" s="4">
        <v>0.73109999999999997</v>
      </c>
      <c r="H5" s="4">
        <v>0.77729999999999999</v>
      </c>
      <c r="I5" s="3">
        <v>0.61319999999999997</v>
      </c>
      <c r="J5" s="13">
        <v>0.97</v>
      </c>
    </row>
    <row r="6" spans="1:10" x14ac:dyDescent="0.25">
      <c r="A6" s="41"/>
      <c r="B6" s="6" t="s">
        <v>18</v>
      </c>
      <c r="C6" s="3">
        <v>212</v>
      </c>
      <c r="D6" s="4">
        <v>0.76759999999999995</v>
      </c>
      <c r="E6" s="4">
        <v>0.4642</v>
      </c>
      <c r="F6" s="4">
        <v>0.53320000000000001</v>
      </c>
      <c r="G6" s="4">
        <v>0.77869999999999995</v>
      </c>
      <c r="H6" s="4">
        <v>0.82969999999999999</v>
      </c>
      <c r="I6" s="3">
        <v>0.41649999999999998</v>
      </c>
      <c r="J6" s="13">
        <v>0.81299999999999994</v>
      </c>
    </row>
    <row r="7" spans="1:10" x14ac:dyDescent="0.25">
      <c r="A7" s="41"/>
      <c r="B7" s="6" t="s">
        <v>19</v>
      </c>
      <c r="C7" s="3">
        <v>212</v>
      </c>
      <c r="D7" s="18">
        <v>0.86129999999999995</v>
      </c>
      <c r="E7" s="4">
        <v>0.4844</v>
      </c>
      <c r="F7" s="4">
        <v>0.53339999999999999</v>
      </c>
      <c r="G7" s="4">
        <v>0.86880000000000002</v>
      </c>
      <c r="H7" s="4">
        <v>0.90429999999999999</v>
      </c>
      <c r="I7" s="3">
        <v>0.34239999999999998</v>
      </c>
      <c r="J7" s="13">
        <v>0.63339999999999996</v>
      </c>
    </row>
    <row r="8" spans="1:10" x14ac:dyDescent="0.25">
      <c r="A8" s="41"/>
      <c r="B8" s="6" t="s">
        <v>1</v>
      </c>
      <c r="C8" s="3">
        <v>212</v>
      </c>
      <c r="D8" s="18">
        <v>0.86329999999999996</v>
      </c>
      <c r="E8" s="4">
        <v>0.44259999999999999</v>
      </c>
      <c r="F8" s="4">
        <v>0.5151</v>
      </c>
      <c r="G8" s="4">
        <v>0.87670000000000003</v>
      </c>
      <c r="H8" s="4">
        <v>0.91469999999999996</v>
      </c>
      <c r="I8" s="3">
        <v>0.35099999999999998</v>
      </c>
      <c r="J8" s="13">
        <v>0.62870000000000004</v>
      </c>
    </row>
    <row r="9" spans="1:10" ht="15.75" thickBot="1" x14ac:dyDescent="0.3">
      <c r="A9" s="42"/>
      <c r="B9" s="14" t="s">
        <v>20</v>
      </c>
      <c r="C9" s="15">
        <v>1272</v>
      </c>
      <c r="D9" s="16">
        <v>0.57979999999999998</v>
      </c>
      <c r="E9" s="16">
        <v>0.31909999999999999</v>
      </c>
      <c r="F9" s="16">
        <v>0.35849999999999999</v>
      </c>
      <c r="G9" s="16">
        <v>0.63380000000000003</v>
      </c>
      <c r="H9" s="16">
        <v>0.63890000000000002</v>
      </c>
      <c r="I9" s="15">
        <v>0.71179999999999999</v>
      </c>
      <c r="J9" s="17">
        <v>11461</v>
      </c>
    </row>
    <row r="10" spans="1:10" x14ac:dyDescent="0.25">
      <c r="A10" s="40" t="s">
        <v>9</v>
      </c>
      <c r="B10" s="7" t="s">
        <v>15</v>
      </c>
      <c r="C10" s="8">
        <v>217</v>
      </c>
      <c r="D10" s="9">
        <v>0.20860000000000001</v>
      </c>
      <c r="E10" s="9">
        <v>0.1115</v>
      </c>
      <c r="F10" s="9">
        <v>0.1724</v>
      </c>
      <c r="G10" s="9">
        <v>0.44069999999999998</v>
      </c>
      <c r="H10" s="9">
        <v>0.3412</v>
      </c>
      <c r="I10" s="10">
        <v>21696</v>
      </c>
      <c r="J10" s="11">
        <v>26098</v>
      </c>
    </row>
    <row r="11" spans="1:10" x14ac:dyDescent="0.25">
      <c r="A11" s="41"/>
      <c r="B11" s="6" t="s">
        <v>16</v>
      </c>
      <c r="C11" s="3">
        <v>217</v>
      </c>
      <c r="D11" s="4">
        <v>0.40920000000000001</v>
      </c>
      <c r="E11" s="4">
        <v>0.1525</v>
      </c>
      <c r="F11" s="4">
        <v>0.21990000000000001</v>
      </c>
      <c r="G11" s="4">
        <v>0.59450000000000003</v>
      </c>
      <c r="H11" s="4">
        <v>0.53690000000000004</v>
      </c>
      <c r="I11" s="5">
        <v>14867</v>
      </c>
      <c r="J11" s="12">
        <v>19579</v>
      </c>
    </row>
    <row r="12" spans="1:10" x14ac:dyDescent="0.25">
      <c r="A12" s="41"/>
      <c r="B12" s="6" t="s">
        <v>17</v>
      </c>
      <c r="C12" s="3">
        <v>217</v>
      </c>
      <c r="D12" s="4">
        <v>0.62280000000000002</v>
      </c>
      <c r="E12" s="4">
        <v>0.2979</v>
      </c>
      <c r="F12" s="4">
        <v>0.33210000000000001</v>
      </c>
      <c r="G12" s="4">
        <v>0.71760000000000002</v>
      </c>
      <c r="H12" s="4">
        <v>0.70240000000000002</v>
      </c>
      <c r="I12" s="3">
        <v>0.89810000000000001</v>
      </c>
      <c r="J12" s="12">
        <v>13446</v>
      </c>
    </row>
    <row r="13" spans="1:10" x14ac:dyDescent="0.25">
      <c r="A13" s="41"/>
      <c r="B13" s="6" t="s">
        <v>18</v>
      </c>
      <c r="C13" s="3">
        <v>217</v>
      </c>
      <c r="D13" s="4">
        <v>0.84430000000000005</v>
      </c>
      <c r="E13" s="4">
        <v>0.39229999999999998</v>
      </c>
      <c r="F13" s="4">
        <v>0.4415</v>
      </c>
      <c r="G13" s="4">
        <v>0.8679</v>
      </c>
      <c r="H13" s="4">
        <v>0.86980000000000002</v>
      </c>
      <c r="I13" s="3">
        <v>0.52339999999999998</v>
      </c>
      <c r="J13" s="13">
        <v>0.78300000000000003</v>
      </c>
    </row>
    <row r="14" spans="1:10" x14ac:dyDescent="0.25">
      <c r="A14" s="41"/>
      <c r="B14" s="6" t="s">
        <v>19</v>
      </c>
      <c r="C14" s="3">
        <v>217</v>
      </c>
      <c r="D14" s="18">
        <v>0.94569999999999999</v>
      </c>
      <c r="E14" s="4">
        <v>0.52370000000000005</v>
      </c>
      <c r="F14" s="4">
        <v>0.53820000000000001</v>
      </c>
      <c r="G14" s="4">
        <v>0.96179999999999999</v>
      </c>
      <c r="H14" s="4">
        <v>0.96140000000000003</v>
      </c>
      <c r="I14" s="3">
        <v>0.373</v>
      </c>
      <c r="J14" s="13">
        <v>0.46710000000000002</v>
      </c>
    </row>
    <row r="15" spans="1:10" x14ac:dyDescent="0.25">
      <c r="A15" s="41"/>
      <c r="B15" s="6" t="s">
        <v>1</v>
      </c>
      <c r="C15" s="3">
        <v>217</v>
      </c>
      <c r="D15" s="18">
        <v>0.95169999999999999</v>
      </c>
      <c r="E15" s="4">
        <v>0.48699999999999999</v>
      </c>
      <c r="F15" s="4">
        <v>0.49109999999999998</v>
      </c>
      <c r="G15" s="4">
        <v>0.97540000000000004</v>
      </c>
      <c r="H15" s="4">
        <v>0.97589999999999999</v>
      </c>
      <c r="I15" s="3">
        <v>0.38440000000000002</v>
      </c>
      <c r="J15" s="13">
        <v>0.45279999999999998</v>
      </c>
    </row>
    <row r="16" spans="1:10" ht="15.75" thickBot="1" x14ac:dyDescent="0.3">
      <c r="A16" s="42"/>
      <c r="B16" s="14" t="s">
        <v>20</v>
      </c>
      <c r="C16" s="15">
        <v>1302</v>
      </c>
      <c r="D16" s="16">
        <v>0.56769999999999998</v>
      </c>
      <c r="E16" s="16">
        <v>0.30380000000000001</v>
      </c>
      <c r="F16" s="16">
        <v>0.36909999999999998</v>
      </c>
      <c r="G16" s="16">
        <v>0.65980000000000005</v>
      </c>
      <c r="H16" s="16">
        <v>0.64529999999999998</v>
      </c>
      <c r="I16" s="15">
        <v>0.97250000000000003</v>
      </c>
      <c r="J16" s="17">
        <v>14994</v>
      </c>
    </row>
    <row r="17" spans="1:10" x14ac:dyDescent="0.25">
      <c r="A17" s="40" t="s">
        <v>10</v>
      </c>
      <c r="B17" s="7" t="s">
        <v>15</v>
      </c>
      <c r="C17" s="8">
        <v>429</v>
      </c>
      <c r="D17" s="9">
        <v>0.22009999999999999</v>
      </c>
      <c r="E17" s="9">
        <v>0.1081</v>
      </c>
      <c r="F17" s="9">
        <v>0.1134</v>
      </c>
      <c r="G17" s="9">
        <v>0.43830000000000002</v>
      </c>
      <c r="H17" s="9">
        <v>0.32829999999999998</v>
      </c>
      <c r="I17" s="10">
        <v>18664</v>
      </c>
      <c r="J17" s="11">
        <v>22932</v>
      </c>
    </row>
    <row r="18" spans="1:10" x14ac:dyDescent="0.25">
      <c r="A18" s="41"/>
      <c r="B18" s="6" t="s">
        <v>16</v>
      </c>
      <c r="C18" s="3">
        <v>429</v>
      </c>
      <c r="D18" s="4">
        <v>0.45029999999999998</v>
      </c>
      <c r="E18" s="4">
        <v>0.1676</v>
      </c>
      <c r="F18" s="4">
        <v>0.17150000000000001</v>
      </c>
      <c r="G18" s="4">
        <v>0.60199999999999998</v>
      </c>
      <c r="H18" s="4">
        <v>0.55000000000000004</v>
      </c>
      <c r="I18" s="5">
        <v>12420</v>
      </c>
      <c r="J18" s="12">
        <v>16837</v>
      </c>
    </row>
    <row r="19" spans="1:10" x14ac:dyDescent="0.25">
      <c r="A19" s="41"/>
      <c r="B19" s="6" t="s">
        <v>17</v>
      </c>
      <c r="C19" s="3">
        <v>429</v>
      </c>
      <c r="D19" s="4">
        <v>0.67159999999999997</v>
      </c>
      <c r="E19" s="4">
        <v>0.31459999999999999</v>
      </c>
      <c r="F19" s="4">
        <v>0.32</v>
      </c>
      <c r="G19" s="4">
        <v>0.73609999999999998</v>
      </c>
      <c r="H19" s="4">
        <v>0.72789999999999999</v>
      </c>
      <c r="I19" s="3">
        <v>0.75729999999999997</v>
      </c>
      <c r="J19" s="12">
        <v>11745</v>
      </c>
    </row>
    <row r="20" spans="1:10" x14ac:dyDescent="0.25">
      <c r="A20" s="41"/>
      <c r="B20" s="6" t="s">
        <v>18</v>
      </c>
      <c r="C20" s="3">
        <v>429</v>
      </c>
      <c r="D20" s="4">
        <v>0.83899999999999997</v>
      </c>
      <c r="E20" s="4">
        <v>0.45879999999999999</v>
      </c>
      <c r="F20" s="4">
        <v>0.48780000000000001</v>
      </c>
      <c r="G20" s="4">
        <v>0.85009999999999997</v>
      </c>
      <c r="H20" s="4">
        <v>0.85360000000000003</v>
      </c>
      <c r="I20" s="3">
        <v>0.47049999999999997</v>
      </c>
      <c r="J20" s="13">
        <v>0.79800000000000004</v>
      </c>
    </row>
    <row r="21" spans="1:10" x14ac:dyDescent="0.25">
      <c r="A21" s="41"/>
      <c r="B21" s="6" t="s">
        <v>19</v>
      </c>
      <c r="C21" s="3">
        <v>429</v>
      </c>
      <c r="D21" s="18">
        <v>0.92320000000000002</v>
      </c>
      <c r="E21" s="4">
        <v>0.5121</v>
      </c>
      <c r="F21" s="4">
        <v>0.53759999999999997</v>
      </c>
      <c r="G21" s="4">
        <v>0.93159999999999998</v>
      </c>
      <c r="H21" s="4">
        <v>0.93430000000000002</v>
      </c>
      <c r="I21" s="3">
        <v>0.3579</v>
      </c>
      <c r="J21" s="13">
        <v>0.55549999999999999</v>
      </c>
    </row>
    <row r="22" spans="1:10" x14ac:dyDescent="0.25">
      <c r="A22" s="41"/>
      <c r="B22" s="6" t="s">
        <v>1</v>
      </c>
      <c r="C22" s="3">
        <v>429</v>
      </c>
      <c r="D22" s="18">
        <v>0.92620000000000002</v>
      </c>
      <c r="E22" s="4">
        <v>0.47399999999999998</v>
      </c>
      <c r="F22" s="4">
        <v>0.50429999999999997</v>
      </c>
      <c r="G22" s="4">
        <v>0.94110000000000005</v>
      </c>
      <c r="H22" s="4">
        <v>0.94730000000000003</v>
      </c>
      <c r="I22" s="3">
        <v>0.3679</v>
      </c>
      <c r="J22" s="13">
        <v>0.54679999999999995</v>
      </c>
    </row>
    <row r="23" spans="1:10" ht="15.75" thickBot="1" x14ac:dyDescent="0.3">
      <c r="A23" s="42"/>
      <c r="B23" s="14" t="s">
        <v>20</v>
      </c>
      <c r="C23" s="15">
        <v>2574</v>
      </c>
      <c r="D23" s="16">
        <v>0.61509999999999998</v>
      </c>
      <c r="E23" s="16">
        <v>0.33450000000000002</v>
      </c>
      <c r="F23" s="16">
        <v>0.36349999999999999</v>
      </c>
      <c r="G23" s="16">
        <v>0.67730000000000001</v>
      </c>
      <c r="H23" s="16">
        <v>0.63819999999999999</v>
      </c>
      <c r="I23" s="15">
        <v>0.84370000000000001</v>
      </c>
      <c r="J23" s="17">
        <v>13365</v>
      </c>
    </row>
  </sheetData>
  <mergeCells count="3">
    <mergeCell ref="A3:A9"/>
    <mergeCell ref="A10:A16"/>
    <mergeCell ref="A17:A2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zoomScaleNormal="100" workbookViewId="0">
      <selection activeCell="D1" sqref="D1:D23"/>
    </sheetView>
  </sheetViews>
  <sheetFormatPr baseColWidth="10" defaultRowHeight="15" x14ac:dyDescent="0.25"/>
  <sheetData>
    <row r="1" spans="1:10" ht="45" x14ac:dyDescent="0.25">
      <c r="A1" s="19"/>
      <c r="B1" s="19"/>
      <c r="C1" s="19" t="s">
        <v>0</v>
      </c>
      <c r="D1" s="19" t="s">
        <v>5</v>
      </c>
      <c r="E1" s="19" t="s">
        <v>6</v>
      </c>
      <c r="F1" s="19" t="s">
        <v>7</v>
      </c>
      <c r="G1" s="19" t="s">
        <v>2</v>
      </c>
      <c r="H1" s="19" t="s">
        <v>12</v>
      </c>
      <c r="I1" s="19" t="s">
        <v>3</v>
      </c>
      <c r="J1" s="19" t="s">
        <v>4</v>
      </c>
    </row>
    <row r="2" spans="1:10" ht="30.75" thickBot="1" x14ac:dyDescent="0.3">
      <c r="A2" s="22" t="s">
        <v>13</v>
      </c>
      <c r="B2" s="22" t="s">
        <v>14</v>
      </c>
      <c r="C2" s="22"/>
      <c r="D2" s="22"/>
      <c r="E2" s="22"/>
      <c r="F2" s="22"/>
      <c r="G2" s="22"/>
      <c r="H2" s="22"/>
      <c r="I2" s="22"/>
      <c r="J2" s="22"/>
    </row>
    <row r="3" spans="1:10" x14ac:dyDescent="0.25">
      <c r="A3" s="43" t="s">
        <v>8</v>
      </c>
      <c r="B3" s="23" t="s">
        <v>15</v>
      </c>
      <c r="C3" s="24">
        <v>212</v>
      </c>
      <c r="D3" s="33">
        <v>0.33329999999999999</v>
      </c>
      <c r="E3" s="33">
        <v>9.8199999999999996E-2</v>
      </c>
      <c r="F3" s="33">
        <v>0.1091</v>
      </c>
      <c r="G3" s="33">
        <v>0.36840000000000001</v>
      </c>
      <c r="H3" s="33">
        <v>0.38529999999999998</v>
      </c>
      <c r="I3" s="24">
        <v>0.95979999999999999</v>
      </c>
      <c r="J3" s="25">
        <v>12688</v>
      </c>
    </row>
    <row r="4" spans="1:10" x14ac:dyDescent="0.25">
      <c r="A4" s="44"/>
      <c r="B4" s="21" t="s">
        <v>16</v>
      </c>
      <c r="C4" s="20">
        <v>212</v>
      </c>
      <c r="D4" s="34">
        <v>0.52880000000000005</v>
      </c>
      <c r="E4" s="34">
        <v>0.2422</v>
      </c>
      <c r="F4" s="34">
        <v>0.23680000000000001</v>
      </c>
      <c r="G4" s="34">
        <v>0.55479999999999996</v>
      </c>
      <c r="H4" s="34">
        <v>0.58279999999999998</v>
      </c>
      <c r="I4" s="20">
        <v>0.7601</v>
      </c>
      <c r="J4" s="26">
        <v>11072</v>
      </c>
    </row>
    <row r="5" spans="1:10" x14ac:dyDescent="0.25">
      <c r="A5" s="44"/>
      <c r="B5" s="21" t="s">
        <v>17</v>
      </c>
      <c r="C5" s="20">
        <v>212</v>
      </c>
      <c r="D5" s="34">
        <v>0.62749999999999995</v>
      </c>
      <c r="E5" s="34">
        <v>0.2437</v>
      </c>
      <c r="F5" s="34">
        <v>0.2898</v>
      </c>
      <c r="G5" s="34">
        <v>0.64780000000000004</v>
      </c>
      <c r="H5" s="34">
        <v>0.69679999999999997</v>
      </c>
      <c r="I5" s="20">
        <v>0.61860000000000004</v>
      </c>
      <c r="J5" s="27">
        <v>0.98829999999999996</v>
      </c>
    </row>
    <row r="6" spans="1:10" x14ac:dyDescent="0.25">
      <c r="A6" s="44"/>
      <c r="B6" s="21" t="s">
        <v>18</v>
      </c>
      <c r="C6" s="20">
        <v>212</v>
      </c>
      <c r="D6" s="34">
        <v>0.66849999999999998</v>
      </c>
      <c r="E6" s="34">
        <v>0.29720000000000002</v>
      </c>
      <c r="F6" s="34">
        <v>0.34279999999999999</v>
      </c>
      <c r="G6" s="34">
        <v>0.6966</v>
      </c>
      <c r="H6" s="34">
        <v>0.74760000000000004</v>
      </c>
      <c r="I6" s="20">
        <v>0.56840000000000002</v>
      </c>
      <c r="J6" s="27">
        <v>0.9506</v>
      </c>
    </row>
    <row r="7" spans="1:10" x14ac:dyDescent="0.25">
      <c r="A7" s="44"/>
      <c r="B7" s="21" t="s">
        <v>19</v>
      </c>
      <c r="C7" s="20">
        <v>212</v>
      </c>
      <c r="D7" s="36">
        <v>0.73619999999999997</v>
      </c>
      <c r="E7" s="34">
        <v>0.30509999999999998</v>
      </c>
      <c r="F7" s="34">
        <v>0.33810000000000001</v>
      </c>
      <c r="G7" s="34">
        <v>0.76719999999999999</v>
      </c>
      <c r="H7" s="34">
        <v>0.80530000000000002</v>
      </c>
      <c r="I7" s="20">
        <v>0.54590000000000005</v>
      </c>
      <c r="J7" s="27">
        <v>0.88009999999999999</v>
      </c>
    </row>
    <row r="8" spans="1:10" x14ac:dyDescent="0.25">
      <c r="A8" s="44"/>
      <c r="B8" s="21" t="s">
        <v>1</v>
      </c>
      <c r="C8" s="20">
        <v>212</v>
      </c>
      <c r="D8" s="36">
        <v>0.74819999999999998</v>
      </c>
      <c r="E8" s="34">
        <v>0.28249999999999997</v>
      </c>
      <c r="F8" s="34">
        <v>0.31009999999999999</v>
      </c>
      <c r="G8" s="34">
        <v>0.78149999999999997</v>
      </c>
      <c r="H8" s="34">
        <v>0.82420000000000004</v>
      </c>
      <c r="I8" s="20">
        <v>0.55330000000000001</v>
      </c>
      <c r="J8" s="27">
        <v>0.86909999999999998</v>
      </c>
    </row>
    <row r="9" spans="1:10" ht="15.75" thickBot="1" x14ac:dyDescent="0.3">
      <c r="A9" s="45"/>
      <c r="B9" s="28" t="s">
        <v>20</v>
      </c>
      <c r="C9" s="29">
        <v>1272</v>
      </c>
      <c r="D9" s="35">
        <v>0.61839999999999995</v>
      </c>
      <c r="E9" s="35">
        <v>0.251</v>
      </c>
      <c r="F9" s="35">
        <v>0.27339999999999998</v>
      </c>
      <c r="G9" s="35">
        <v>0.63739999999999997</v>
      </c>
      <c r="H9" s="35">
        <v>0.67300000000000004</v>
      </c>
      <c r="I9" s="29">
        <v>0.66769999999999996</v>
      </c>
      <c r="J9" s="30">
        <v>10203</v>
      </c>
    </row>
    <row r="10" spans="1:10" x14ac:dyDescent="0.25">
      <c r="A10" s="43" t="s">
        <v>9</v>
      </c>
      <c r="B10" s="23" t="s">
        <v>15</v>
      </c>
      <c r="C10" s="24">
        <v>217</v>
      </c>
      <c r="D10" s="33">
        <v>0.4</v>
      </c>
      <c r="E10" s="33">
        <v>0.16470000000000001</v>
      </c>
      <c r="F10" s="33">
        <v>0.22459999999999999</v>
      </c>
      <c r="G10" s="33">
        <v>0.48320000000000002</v>
      </c>
      <c r="H10" s="33">
        <v>0.44469999999999998</v>
      </c>
      <c r="I10" s="31">
        <v>11051</v>
      </c>
      <c r="J10" s="25">
        <v>14063</v>
      </c>
    </row>
    <row r="11" spans="1:10" x14ac:dyDescent="0.25">
      <c r="A11" s="44"/>
      <c r="B11" s="21" t="s">
        <v>16</v>
      </c>
      <c r="C11" s="20">
        <v>217</v>
      </c>
      <c r="D11" s="34">
        <v>0.60360000000000003</v>
      </c>
      <c r="E11" s="34">
        <v>0.22409999999999999</v>
      </c>
      <c r="F11" s="34">
        <v>0.30609999999999998</v>
      </c>
      <c r="G11" s="34">
        <v>0.65510000000000002</v>
      </c>
      <c r="H11" s="34">
        <v>0.62090000000000001</v>
      </c>
      <c r="I11" s="20">
        <v>0.84409999999999996</v>
      </c>
      <c r="J11" s="26">
        <v>11694</v>
      </c>
    </row>
    <row r="12" spans="1:10" x14ac:dyDescent="0.25">
      <c r="A12" s="44"/>
      <c r="B12" s="21" t="s">
        <v>17</v>
      </c>
      <c r="C12" s="20">
        <v>217</v>
      </c>
      <c r="D12" s="34">
        <v>0.73080000000000001</v>
      </c>
      <c r="E12" s="34">
        <v>0.2908</v>
      </c>
      <c r="F12" s="34">
        <v>0.38300000000000001</v>
      </c>
      <c r="G12" s="34">
        <v>0.75160000000000005</v>
      </c>
      <c r="H12" s="34">
        <v>0.73370000000000002</v>
      </c>
      <c r="I12" s="20">
        <v>0.65329999999999999</v>
      </c>
      <c r="J12" s="27">
        <v>0.94799999999999995</v>
      </c>
    </row>
    <row r="13" spans="1:10" x14ac:dyDescent="0.25">
      <c r="A13" s="44"/>
      <c r="B13" s="21" t="s">
        <v>18</v>
      </c>
      <c r="C13" s="20">
        <v>217</v>
      </c>
      <c r="D13" s="34">
        <v>0.86270000000000002</v>
      </c>
      <c r="E13" s="34">
        <v>0.3826</v>
      </c>
      <c r="F13" s="34">
        <v>0.45610000000000001</v>
      </c>
      <c r="G13" s="34">
        <v>0.87670000000000003</v>
      </c>
      <c r="H13" s="34">
        <v>0.87309999999999999</v>
      </c>
      <c r="I13" s="20">
        <v>0.4904</v>
      </c>
      <c r="J13" s="27">
        <v>0.68379999999999996</v>
      </c>
    </row>
    <row r="14" spans="1:10" x14ac:dyDescent="0.25">
      <c r="A14" s="44"/>
      <c r="B14" s="21" t="s">
        <v>19</v>
      </c>
      <c r="C14" s="20">
        <v>217</v>
      </c>
      <c r="D14" s="36">
        <v>0.90059999999999996</v>
      </c>
      <c r="E14" s="34">
        <v>0.38229999999999997</v>
      </c>
      <c r="F14" s="34">
        <v>0.44269999999999998</v>
      </c>
      <c r="G14" s="34">
        <v>0.94220000000000004</v>
      </c>
      <c r="H14" s="34">
        <v>0.95240000000000002</v>
      </c>
      <c r="I14" s="20">
        <v>0.44429999999999997</v>
      </c>
      <c r="J14" s="27">
        <v>0.57679999999999998</v>
      </c>
    </row>
    <row r="15" spans="1:10" x14ac:dyDescent="0.25">
      <c r="A15" s="44"/>
      <c r="B15" s="21" t="s">
        <v>1</v>
      </c>
      <c r="C15" s="20">
        <v>217</v>
      </c>
      <c r="D15" s="36">
        <v>0.90480000000000005</v>
      </c>
      <c r="E15" s="34">
        <v>0.35399999999999998</v>
      </c>
      <c r="F15" s="34">
        <v>0.41539999999999999</v>
      </c>
      <c r="G15" s="34">
        <v>0.95230000000000004</v>
      </c>
      <c r="H15" s="34">
        <v>0.96160000000000001</v>
      </c>
      <c r="I15" s="20">
        <v>0.45629999999999998</v>
      </c>
      <c r="J15" s="27">
        <v>0.57299999999999995</v>
      </c>
    </row>
    <row r="16" spans="1:10" ht="15.75" thickBot="1" x14ac:dyDescent="0.3">
      <c r="A16" s="45"/>
      <c r="B16" s="28" t="s">
        <v>20</v>
      </c>
      <c r="C16" s="29">
        <v>1302</v>
      </c>
      <c r="D16" s="35">
        <v>0.73250000000000004</v>
      </c>
      <c r="E16" s="35">
        <v>0.30070000000000002</v>
      </c>
      <c r="F16" s="35">
        <v>0.3765</v>
      </c>
      <c r="G16" s="35">
        <v>0.75219999999999998</v>
      </c>
      <c r="H16" s="35">
        <v>0.73970000000000002</v>
      </c>
      <c r="I16" s="29">
        <v>0.66559999999999997</v>
      </c>
      <c r="J16" s="32">
        <v>0.94630000000000003</v>
      </c>
    </row>
    <row r="17" spans="1:10" x14ac:dyDescent="0.25">
      <c r="A17" s="43" t="s">
        <v>10</v>
      </c>
      <c r="B17" s="23" t="s">
        <v>15</v>
      </c>
      <c r="C17" s="24">
        <v>429</v>
      </c>
      <c r="D17" s="33">
        <v>0.43359999999999999</v>
      </c>
      <c r="E17" s="33">
        <v>0.1565</v>
      </c>
      <c r="F17" s="33">
        <v>0.1694</v>
      </c>
      <c r="G17" s="33">
        <v>0.49159999999999998</v>
      </c>
      <c r="H17" s="33">
        <v>0.45639999999999997</v>
      </c>
      <c r="I17" s="31">
        <v>10333</v>
      </c>
      <c r="J17" s="25">
        <v>13402</v>
      </c>
    </row>
    <row r="18" spans="1:10" x14ac:dyDescent="0.25">
      <c r="A18" s="44"/>
      <c r="B18" s="21" t="s">
        <v>16</v>
      </c>
      <c r="C18" s="20">
        <v>429</v>
      </c>
      <c r="D18" s="34">
        <v>0.62309999999999999</v>
      </c>
      <c r="E18" s="34">
        <v>0.25979999999999998</v>
      </c>
      <c r="F18" s="34">
        <v>0.27679999999999999</v>
      </c>
      <c r="G18" s="34">
        <v>0.65839999999999999</v>
      </c>
      <c r="H18" s="34">
        <v>0.63870000000000005</v>
      </c>
      <c r="I18" s="20">
        <v>0.80259999999999998</v>
      </c>
      <c r="J18" s="26">
        <v>11391</v>
      </c>
    </row>
    <row r="19" spans="1:10" x14ac:dyDescent="0.25">
      <c r="A19" s="44"/>
      <c r="B19" s="21" t="s">
        <v>17</v>
      </c>
      <c r="C19" s="20">
        <v>429</v>
      </c>
      <c r="D19" s="34">
        <v>0.73040000000000005</v>
      </c>
      <c r="E19" s="34">
        <v>0.31140000000000001</v>
      </c>
      <c r="F19" s="34">
        <v>0.34229999999999999</v>
      </c>
      <c r="G19" s="34">
        <v>0.74670000000000003</v>
      </c>
      <c r="H19" s="34">
        <v>0.73550000000000004</v>
      </c>
      <c r="I19" s="20">
        <v>0.63619999999999999</v>
      </c>
      <c r="J19" s="27">
        <v>0.96809999999999996</v>
      </c>
    </row>
    <row r="20" spans="1:10" x14ac:dyDescent="0.25">
      <c r="A20" s="44"/>
      <c r="B20" s="21" t="s">
        <v>18</v>
      </c>
      <c r="C20" s="20">
        <v>429</v>
      </c>
      <c r="D20" s="34">
        <v>0.80900000000000005</v>
      </c>
      <c r="E20" s="34">
        <v>0.3765</v>
      </c>
      <c r="F20" s="34">
        <v>0.4073</v>
      </c>
      <c r="G20" s="34">
        <v>0.82730000000000004</v>
      </c>
      <c r="H20" s="34">
        <v>0.82609999999999995</v>
      </c>
      <c r="I20" s="20">
        <v>0.52890000000000004</v>
      </c>
      <c r="J20" s="27">
        <v>0.82650000000000001</v>
      </c>
    </row>
    <row r="21" spans="1:10" x14ac:dyDescent="0.25">
      <c r="A21" s="44"/>
      <c r="B21" s="21" t="s">
        <v>19</v>
      </c>
      <c r="C21" s="20">
        <v>429</v>
      </c>
      <c r="D21" s="36">
        <v>0.85160000000000002</v>
      </c>
      <c r="E21" s="34">
        <v>0.374</v>
      </c>
      <c r="F21" s="34">
        <v>0.39229999999999998</v>
      </c>
      <c r="G21" s="34">
        <v>0.88329999999999997</v>
      </c>
      <c r="H21" s="34">
        <v>0.88949999999999996</v>
      </c>
      <c r="I21" s="20">
        <v>0.4945</v>
      </c>
      <c r="J21" s="27">
        <v>0.74229999999999996</v>
      </c>
    </row>
    <row r="22" spans="1:10" x14ac:dyDescent="0.25">
      <c r="A22" s="44"/>
      <c r="B22" s="21" t="s">
        <v>1</v>
      </c>
      <c r="C22" s="20">
        <v>429</v>
      </c>
      <c r="D22" s="36">
        <v>0.8579</v>
      </c>
      <c r="E22" s="34">
        <v>0.3448</v>
      </c>
      <c r="F22" s="34">
        <v>0.36309999999999998</v>
      </c>
      <c r="G22" s="34">
        <v>0.89290000000000003</v>
      </c>
      <c r="H22" s="34">
        <v>0.90300000000000002</v>
      </c>
      <c r="I22" s="20">
        <v>0.50419999999999998</v>
      </c>
      <c r="J22" s="27">
        <v>0.73440000000000005</v>
      </c>
    </row>
    <row r="23" spans="1:10" ht="15.75" thickBot="1" x14ac:dyDescent="0.3">
      <c r="A23" s="45"/>
      <c r="B23" s="28" t="s">
        <v>20</v>
      </c>
      <c r="C23" s="29">
        <v>2574</v>
      </c>
      <c r="D23" s="35">
        <v>0.72599999999999998</v>
      </c>
      <c r="E23" s="35">
        <v>0.30730000000000002</v>
      </c>
      <c r="F23" s="35">
        <v>0.32779999999999998</v>
      </c>
      <c r="G23" s="35">
        <v>0.74260000000000004</v>
      </c>
      <c r="H23" s="35">
        <v>0.73170000000000002</v>
      </c>
      <c r="I23" s="29">
        <v>0.66659999999999997</v>
      </c>
      <c r="J23" s="32">
        <v>0.98360000000000003</v>
      </c>
    </row>
  </sheetData>
  <mergeCells count="3">
    <mergeCell ref="A3:A9"/>
    <mergeCell ref="A10:A16"/>
    <mergeCell ref="A17:A23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selection activeCell="D3" sqref="D3:D23"/>
    </sheetView>
  </sheetViews>
  <sheetFormatPr baseColWidth="10" defaultRowHeight="15" x14ac:dyDescent="0.25"/>
  <sheetData>
    <row r="1" spans="1:15" ht="45" x14ac:dyDescent="0.25">
      <c r="A1" s="2"/>
      <c r="B1" s="2"/>
      <c r="C1" s="2" t="s">
        <v>0</v>
      </c>
      <c r="D1" s="2" t="s">
        <v>5</v>
      </c>
      <c r="E1" s="2" t="s">
        <v>6</v>
      </c>
      <c r="G1" s="2"/>
      <c r="H1" s="2" t="s">
        <v>3</v>
      </c>
      <c r="I1" s="2" t="s">
        <v>4</v>
      </c>
      <c r="L1" s="2" t="s">
        <v>7</v>
      </c>
      <c r="M1" s="2" t="s">
        <v>2</v>
      </c>
      <c r="N1" s="2"/>
      <c r="O1" s="2" t="s">
        <v>12</v>
      </c>
    </row>
    <row r="2" spans="1:15" ht="30" x14ac:dyDescent="0.25">
      <c r="A2" s="2" t="s">
        <v>13</v>
      </c>
      <c r="B2" s="2" t="s">
        <v>14</v>
      </c>
      <c r="C2" s="2"/>
      <c r="D2" s="2"/>
      <c r="E2" s="2"/>
      <c r="G2" s="2"/>
      <c r="H2" s="2"/>
      <c r="I2" s="2"/>
      <c r="L2" s="2"/>
      <c r="M2" s="2"/>
      <c r="N2" s="2"/>
      <c r="O2" s="2"/>
    </row>
    <row r="3" spans="1:15" x14ac:dyDescent="0.25">
      <c r="A3" s="49" t="s">
        <v>8</v>
      </c>
      <c r="B3" s="46" t="s">
        <v>15</v>
      </c>
      <c r="C3" s="47">
        <v>212</v>
      </c>
      <c r="D3" s="50">
        <v>0.42559999999999998</v>
      </c>
      <c r="E3" s="50">
        <v>0.15920000000000001</v>
      </c>
      <c r="F3" s="1"/>
      <c r="G3" s="50"/>
      <c r="H3" s="50">
        <v>0.86309999999999998</v>
      </c>
      <c r="I3" s="50">
        <v>12198</v>
      </c>
      <c r="J3" s="1"/>
      <c r="K3" s="1"/>
      <c r="L3" s="50">
        <v>0.216</v>
      </c>
      <c r="M3" s="50">
        <v>0.44040000000000001</v>
      </c>
      <c r="N3" s="50"/>
      <c r="O3" s="50">
        <v>0.49840000000000001</v>
      </c>
    </row>
    <row r="4" spans="1:15" x14ac:dyDescent="0.25">
      <c r="A4" s="49"/>
      <c r="B4" s="48" t="s">
        <v>16</v>
      </c>
      <c r="C4" s="47">
        <v>212</v>
      </c>
      <c r="D4" s="50">
        <v>0.63490000000000002</v>
      </c>
      <c r="E4" s="50">
        <v>0.2913</v>
      </c>
      <c r="F4" s="1"/>
      <c r="G4" s="50"/>
      <c r="H4" s="50">
        <v>0.62570000000000003</v>
      </c>
      <c r="I4" s="50">
        <v>0.98660000000000003</v>
      </c>
      <c r="J4" s="1"/>
      <c r="K4" s="1"/>
      <c r="L4" s="50">
        <v>0.32640000000000002</v>
      </c>
      <c r="M4" s="50">
        <v>0.64949999999999997</v>
      </c>
      <c r="N4" s="50"/>
      <c r="O4" s="50">
        <v>0.69650000000000001</v>
      </c>
    </row>
    <row r="5" spans="1:15" x14ac:dyDescent="0.25">
      <c r="A5" s="49"/>
      <c r="B5" s="48" t="s">
        <v>17</v>
      </c>
      <c r="C5" s="47">
        <v>212</v>
      </c>
      <c r="D5" s="50">
        <v>0.6885</v>
      </c>
      <c r="E5" s="50">
        <v>0.3367</v>
      </c>
      <c r="F5" s="1"/>
      <c r="G5" s="50"/>
      <c r="H5" s="50">
        <v>0.5141</v>
      </c>
      <c r="I5" s="50">
        <v>0.89739999999999998</v>
      </c>
      <c r="J5" s="1"/>
      <c r="K5" s="1"/>
      <c r="L5" s="50">
        <v>0.36890000000000001</v>
      </c>
      <c r="M5" s="50">
        <v>0.71089999999999998</v>
      </c>
      <c r="N5" s="50"/>
      <c r="O5" s="50">
        <v>0.77890000000000004</v>
      </c>
    </row>
    <row r="6" spans="1:15" x14ac:dyDescent="0.25">
      <c r="A6" s="49"/>
      <c r="B6" s="48" t="s">
        <v>18</v>
      </c>
      <c r="C6" s="47">
        <v>212</v>
      </c>
      <c r="D6" s="50">
        <v>0.71909999999999996</v>
      </c>
      <c r="E6" s="50">
        <v>0.40389999999999998</v>
      </c>
      <c r="F6" s="1"/>
      <c r="G6" s="50"/>
      <c r="H6" s="50">
        <v>0.46679999999999999</v>
      </c>
      <c r="I6" s="50">
        <v>0.86209999999999998</v>
      </c>
      <c r="J6" s="1"/>
      <c r="K6" s="1"/>
      <c r="L6" s="50">
        <v>0.42759999999999998</v>
      </c>
      <c r="M6" s="50">
        <v>0.74250000000000005</v>
      </c>
      <c r="N6" s="50"/>
      <c r="O6" s="50">
        <v>0.8044</v>
      </c>
    </row>
    <row r="7" spans="1:15" x14ac:dyDescent="0.25">
      <c r="A7" s="49"/>
      <c r="B7" s="48" t="s">
        <v>19</v>
      </c>
      <c r="C7" s="47">
        <v>212</v>
      </c>
      <c r="D7" s="50">
        <v>0.77039999999999997</v>
      </c>
      <c r="E7" s="50">
        <v>0.4612</v>
      </c>
      <c r="F7" s="1"/>
      <c r="G7" s="50"/>
      <c r="H7" s="50">
        <v>0.41639999999999999</v>
      </c>
      <c r="I7" s="50">
        <v>0.80259999999999998</v>
      </c>
      <c r="J7" s="1"/>
      <c r="K7" s="1"/>
      <c r="L7" s="50">
        <v>0.48330000000000001</v>
      </c>
      <c r="M7" s="50">
        <v>0.78620000000000001</v>
      </c>
      <c r="N7" s="50"/>
      <c r="O7" s="50">
        <v>0.83819999999999995</v>
      </c>
    </row>
    <row r="8" spans="1:15" x14ac:dyDescent="0.25">
      <c r="A8" s="49"/>
      <c r="B8" s="48" t="s">
        <v>1</v>
      </c>
      <c r="C8" s="47">
        <v>212</v>
      </c>
      <c r="D8" s="50">
        <v>0.76770000000000005</v>
      </c>
      <c r="E8" s="50">
        <v>0.43869999999999998</v>
      </c>
      <c r="F8" s="1"/>
      <c r="G8" s="50"/>
      <c r="H8" s="50">
        <v>0.4274</v>
      </c>
      <c r="I8" s="50">
        <v>0.80910000000000004</v>
      </c>
      <c r="J8" s="1"/>
      <c r="K8" s="1"/>
      <c r="L8" s="50">
        <v>0.46</v>
      </c>
      <c r="M8" s="50">
        <v>0.78610000000000002</v>
      </c>
      <c r="N8" s="50"/>
      <c r="O8" s="50">
        <v>0.83919999999999995</v>
      </c>
    </row>
    <row r="9" spans="1:15" x14ac:dyDescent="0.25">
      <c r="A9" s="49"/>
      <c r="B9" s="48" t="s">
        <v>20</v>
      </c>
      <c r="C9" s="47">
        <v>1272</v>
      </c>
      <c r="D9" s="50">
        <v>0.67210000000000003</v>
      </c>
      <c r="E9" s="50">
        <v>0.35610000000000003</v>
      </c>
      <c r="F9" s="1"/>
      <c r="G9" s="50"/>
      <c r="H9" s="50">
        <v>0.55220000000000002</v>
      </c>
      <c r="I9" s="50">
        <v>0.94059999999999999</v>
      </c>
      <c r="J9" s="1"/>
      <c r="K9" s="1"/>
      <c r="L9" s="50">
        <v>0.38400000000000001</v>
      </c>
      <c r="M9" s="50">
        <v>0.68899999999999995</v>
      </c>
      <c r="N9" s="50"/>
      <c r="O9" s="50">
        <v>0.74380000000000002</v>
      </c>
    </row>
    <row r="10" spans="1:15" x14ac:dyDescent="0.25">
      <c r="A10" s="49" t="s">
        <v>9</v>
      </c>
      <c r="B10" s="46" t="s">
        <v>15</v>
      </c>
      <c r="C10" s="47">
        <v>217</v>
      </c>
      <c r="D10" s="50">
        <v>0.57520000000000004</v>
      </c>
      <c r="E10" s="50">
        <v>0.2162</v>
      </c>
      <c r="F10" s="1"/>
      <c r="G10" s="50"/>
      <c r="H10" s="50">
        <v>0.91449999999999998</v>
      </c>
      <c r="I10" s="50">
        <v>11591</v>
      </c>
      <c r="J10" s="1"/>
      <c r="K10" s="1"/>
      <c r="L10" s="50">
        <v>0.25750000000000001</v>
      </c>
      <c r="M10" s="50">
        <v>0.59319999999999995</v>
      </c>
      <c r="N10" s="50"/>
      <c r="O10" s="50">
        <v>0.64190000000000003</v>
      </c>
    </row>
    <row r="11" spans="1:15" x14ac:dyDescent="0.25">
      <c r="A11" s="49"/>
      <c r="B11" s="48" t="s">
        <v>16</v>
      </c>
      <c r="C11" s="47">
        <v>217</v>
      </c>
      <c r="D11" s="50">
        <v>0.73070000000000002</v>
      </c>
      <c r="E11" s="50">
        <v>0.31309999999999999</v>
      </c>
      <c r="F11" s="1"/>
      <c r="G11" s="50"/>
      <c r="H11" s="50">
        <v>0.7056</v>
      </c>
      <c r="I11" s="50">
        <v>0.95650000000000002</v>
      </c>
      <c r="J11" s="1"/>
      <c r="K11" s="1"/>
      <c r="L11" s="50">
        <v>0.3548</v>
      </c>
      <c r="M11" s="50">
        <v>0.74550000000000005</v>
      </c>
      <c r="N11" s="50"/>
      <c r="O11" s="50">
        <v>0.74650000000000005</v>
      </c>
    </row>
    <row r="12" spans="1:15" x14ac:dyDescent="0.25">
      <c r="A12" s="49"/>
      <c r="B12" s="48" t="s">
        <v>17</v>
      </c>
      <c r="C12" s="47">
        <v>217</v>
      </c>
      <c r="D12" s="50">
        <v>0.83389999999999997</v>
      </c>
      <c r="E12" s="50">
        <v>0.39939999999999998</v>
      </c>
      <c r="F12" s="1"/>
      <c r="G12" s="50"/>
      <c r="H12" s="50">
        <v>0.55500000000000005</v>
      </c>
      <c r="I12" s="50">
        <v>0.75219999999999998</v>
      </c>
      <c r="J12" s="1"/>
      <c r="K12" s="1"/>
      <c r="L12" s="50">
        <v>0.4274</v>
      </c>
      <c r="M12" s="50">
        <v>0.8458</v>
      </c>
      <c r="N12" s="50"/>
      <c r="O12" s="50">
        <v>0.83930000000000005</v>
      </c>
    </row>
    <row r="13" spans="1:15" x14ac:dyDescent="0.25">
      <c r="A13" s="49"/>
      <c r="B13" s="48" t="s">
        <v>18</v>
      </c>
      <c r="C13" s="47">
        <v>217</v>
      </c>
      <c r="D13" s="50">
        <v>0.8992</v>
      </c>
      <c r="E13" s="50">
        <v>0.47849999999999998</v>
      </c>
      <c r="F13" s="1"/>
      <c r="G13" s="50"/>
      <c r="H13" s="50">
        <v>0.43330000000000002</v>
      </c>
      <c r="I13" s="50">
        <v>0.57779999999999998</v>
      </c>
      <c r="J13" s="1"/>
      <c r="K13" s="1"/>
      <c r="L13" s="50">
        <v>0.51549999999999996</v>
      </c>
      <c r="M13" s="50">
        <v>0.91410000000000002</v>
      </c>
      <c r="N13" s="50"/>
      <c r="O13" s="50">
        <v>0.91080000000000005</v>
      </c>
    </row>
    <row r="14" spans="1:15" x14ac:dyDescent="0.25">
      <c r="A14" s="49"/>
      <c r="B14" s="48" t="s">
        <v>19</v>
      </c>
      <c r="C14" s="47">
        <v>217</v>
      </c>
      <c r="D14" s="50">
        <v>0.93710000000000004</v>
      </c>
      <c r="E14" s="50">
        <v>0.51880000000000004</v>
      </c>
      <c r="F14" s="1"/>
      <c r="G14" s="50"/>
      <c r="H14" s="50">
        <v>0.33960000000000001</v>
      </c>
      <c r="I14" s="50">
        <v>0.45829999999999999</v>
      </c>
      <c r="J14" s="1"/>
      <c r="K14" s="1"/>
      <c r="L14" s="50">
        <v>0.5847</v>
      </c>
      <c r="M14" s="50">
        <v>0.95699999999999996</v>
      </c>
      <c r="N14" s="50"/>
      <c r="O14" s="50">
        <v>0.95830000000000004</v>
      </c>
    </row>
    <row r="15" spans="1:15" x14ac:dyDescent="0.25">
      <c r="A15" s="49"/>
      <c r="B15" s="48" t="s">
        <v>1</v>
      </c>
      <c r="C15" s="47">
        <v>217</v>
      </c>
      <c r="D15" s="50">
        <v>0.93889999999999996</v>
      </c>
      <c r="E15" s="50">
        <v>0.47620000000000001</v>
      </c>
      <c r="F15" s="1"/>
      <c r="G15" s="50"/>
      <c r="H15" s="50">
        <v>0.35089999999999999</v>
      </c>
      <c r="I15" s="50">
        <v>0.45090000000000002</v>
      </c>
      <c r="J15" s="1"/>
      <c r="K15" s="1"/>
      <c r="L15" s="50">
        <v>0.53480000000000005</v>
      </c>
      <c r="M15" s="50">
        <v>0.96509999999999996</v>
      </c>
      <c r="N15" s="50"/>
      <c r="O15" s="50">
        <v>0.96679999999999999</v>
      </c>
    </row>
    <row r="16" spans="1:15" x14ac:dyDescent="0.25">
      <c r="A16" s="49"/>
      <c r="B16" s="48" t="s">
        <v>20</v>
      </c>
      <c r="C16" s="47">
        <v>1302</v>
      </c>
      <c r="D16" s="50">
        <v>0.82399999999999995</v>
      </c>
      <c r="E16" s="50">
        <v>0.40560000000000002</v>
      </c>
      <c r="F16" s="1"/>
      <c r="G16" s="50"/>
      <c r="H16" s="50">
        <v>0.54979999999999996</v>
      </c>
      <c r="I16" s="50">
        <v>0.77149999999999996</v>
      </c>
      <c r="J16" s="1"/>
      <c r="K16" s="1"/>
      <c r="L16" s="50">
        <v>0.45090000000000002</v>
      </c>
      <c r="M16" s="50">
        <v>0.83599999999999997</v>
      </c>
      <c r="N16" s="50"/>
      <c r="O16" s="50">
        <v>0.83620000000000005</v>
      </c>
    </row>
    <row r="17" spans="1:15" x14ac:dyDescent="0.25">
      <c r="A17" s="49" t="s">
        <v>10</v>
      </c>
      <c r="B17" s="46" t="s">
        <v>15</v>
      </c>
      <c r="C17" s="47">
        <v>429</v>
      </c>
      <c r="D17" s="50">
        <v>0.58309999999999995</v>
      </c>
      <c r="E17" s="50">
        <v>0.21729999999999999</v>
      </c>
      <c r="F17" s="1"/>
      <c r="G17" s="50"/>
      <c r="H17" s="50">
        <v>0.8891</v>
      </c>
      <c r="I17" s="50">
        <v>11895</v>
      </c>
      <c r="J17" s="1"/>
      <c r="K17" s="1"/>
      <c r="L17" s="50">
        <v>0.23949999999999999</v>
      </c>
      <c r="M17" s="50">
        <v>0.59619999999999995</v>
      </c>
      <c r="N17" s="50"/>
      <c r="O17" s="50">
        <v>0.62990000000000002</v>
      </c>
    </row>
    <row r="18" spans="1:15" x14ac:dyDescent="0.25">
      <c r="A18" s="49"/>
      <c r="B18" s="48" t="s">
        <v>16</v>
      </c>
      <c r="C18" s="47">
        <v>429</v>
      </c>
      <c r="D18" s="50">
        <v>0.73319999999999996</v>
      </c>
      <c r="E18" s="50">
        <v>0.32300000000000001</v>
      </c>
      <c r="F18" s="1"/>
      <c r="G18" s="50"/>
      <c r="H18" s="50">
        <v>0.66610000000000003</v>
      </c>
      <c r="I18" s="50">
        <v>0.97150000000000003</v>
      </c>
      <c r="J18" s="1"/>
      <c r="K18" s="1"/>
      <c r="L18" s="50">
        <v>0.34439999999999998</v>
      </c>
      <c r="M18" s="50">
        <v>0.74619999999999997</v>
      </c>
      <c r="N18" s="50"/>
      <c r="O18" s="50">
        <v>0.76200000000000001</v>
      </c>
    </row>
    <row r="19" spans="1:15" x14ac:dyDescent="0.25">
      <c r="A19" s="49"/>
      <c r="B19" s="48" t="s">
        <v>17</v>
      </c>
      <c r="C19" s="47">
        <v>429</v>
      </c>
      <c r="D19" s="50">
        <v>0.8054</v>
      </c>
      <c r="E19" s="50">
        <v>0.38550000000000001</v>
      </c>
      <c r="F19" s="1"/>
      <c r="G19" s="50"/>
      <c r="H19" s="50">
        <v>0.53480000000000005</v>
      </c>
      <c r="I19" s="50">
        <v>0.82720000000000005</v>
      </c>
      <c r="J19" s="1"/>
      <c r="K19" s="1"/>
      <c r="L19" s="50">
        <v>0.4052</v>
      </c>
      <c r="M19" s="50">
        <v>0.81869999999999998</v>
      </c>
      <c r="N19" s="50"/>
      <c r="O19" s="50">
        <v>0.83299999999999996</v>
      </c>
    </row>
    <row r="20" spans="1:15" x14ac:dyDescent="0.25">
      <c r="A20" s="49"/>
      <c r="B20" s="48" t="s">
        <v>18</v>
      </c>
      <c r="C20" s="47">
        <v>429</v>
      </c>
      <c r="D20" s="50">
        <v>0.84740000000000004</v>
      </c>
      <c r="E20" s="50">
        <v>0.45839999999999997</v>
      </c>
      <c r="F20" s="1"/>
      <c r="G20" s="50"/>
      <c r="H20" s="50">
        <v>0.44990000000000002</v>
      </c>
      <c r="I20" s="50">
        <v>0.73229999999999995</v>
      </c>
      <c r="J20" s="1"/>
      <c r="K20" s="1"/>
      <c r="L20" s="50">
        <v>0.47649999999999998</v>
      </c>
      <c r="M20" s="50">
        <v>0.86350000000000005</v>
      </c>
      <c r="N20" s="50"/>
      <c r="O20" s="50">
        <v>0.87060000000000004</v>
      </c>
    </row>
    <row r="21" spans="1:15" x14ac:dyDescent="0.25">
      <c r="A21" s="49"/>
      <c r="B21" s="48" t="s">
        <v>19</v>
      </c>
      <c r="C21" s="47">
        <v>429</v>
      </c>
      <c r="D21" s="50">
        <v>0.88460000000000005</v>
      </c>
      <c r="E21" s="50">
        <v>0.51580000000000004</v>
      </c>
      <c r="F21" s="1"/>
      <c r="G21" s="50"/>
      <c r="H21" s="50">
        <v>0.37759999999999999</v>
      </c>
      <c r="I21" s="50">
        <v>0.65149999999999997</v>
      </c>
      <c r="J21" s="1"/>
      <c r="K21" s="1"/>
      <c r="L21" s="50">
        <v>0.53639999999999999</v>
      </c>
      <c r="M21" s="50">
        <v>0.89900000000000002</v>
      </c>
      <c r="N21" s="50"/>
      <c r="O21" s="50">
        <v>0.90569999999999995</v>
      </c>
    </row>
    <row r="22" spans="1:15" x14ac:dyDescent="0.25">
      <c r="A22" s="49"/>
      <c r="B22" s="48" t="s">
        <v>1</v>
      </c>
      <c r="C22" s="47">
        <v>429</v>
      </c>
      <c r="D22" s="50">
        <v>0.88439999999999996</v>
      </c>
      <c r="E22" s="50">
        <v>0.48259999999999997</v>
      </c>
      <c r="F22" s="1"/>
      <c r="G22" s="50"/>
      <c r="H22" s="50">
        <v>0.38869999999999999</v>
      </c>
      <c r="I22" s="50">
        <v>0.65290000000000004</v>
      </c>
      <c r="J22" s="1"/>
      <c r="K22" s="1"/>
      <c r="L22" s="50">
        <v>0.50019999999999998</v>
      </c>
      <c r="M22" s="50">
        <v>0.90259999999999996</v>
      </c>
      <c r="N22" s="50"/>
      <c r="O22" s="50">
        <v>0.9113</v>
      </c>
    </row>
    <row r="23" spans="1:15" x14ac:dyDescent="0.25">
      <c r="A23" s="49"/>
      <c r="B23" s="48" t="s">
        <v>20</v>
      </c>
      <c r="C23" s="47">
        <v>2574</v>
      </c>
      <c r="D23" s="50">
        <v>0.79420000000000002</v>
      </c>
      <c r="E23" s="50">
        <v>0.40200000000000002</v>
      </c>
      <c r="F23" s="1"/>
      <c r="G23" s="50"/>
      <c r="H23" s="50">
        <v>0.55100000000000005</v>
      </c>
      <c r="I23" s="50">
        <v>0.85919999999999996</v>
      </c>
      <c r="J23" s="1"/>
      <c r="K23" s="1"/>
      <c r="L23" s="50">
        <v>0.42020000000000002</v>
      </c>
      <c r="M23" s="50">
        <v>0.80630000000000002</v>
      </c>
      <c r="N23" s="50"/>
      <c r="O23" s="50">
        <v>0.81710000000000005</v>
      </c>
    </row>
  </sheetData>
  <mergeCells count="3">
    <mergeCell ref="A3:A9"/>
    <mergeCell ref="A10:A16"/>
    <mergeCell ref="A17:A23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comparison</vt:lpstr>
      <vt:lpstr>full</vt:lpstr>
      <vt:lpstr>hybrid</vt:lpstr>
      <vt:lpstr>fusion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2026-03-15T21:26:25Z</dcterms:modified>
</cp:coreProperties>
</file>